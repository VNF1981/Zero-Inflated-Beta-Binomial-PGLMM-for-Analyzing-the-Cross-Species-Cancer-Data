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20b61f747d4e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 Aliases" sheetId="1" r:id="R894e1770b6d648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5">
    <x:font>
      <x:sz val="11"/>
      <x:name val="Carlito"/>
    </x:font>
    <x:font>
      <x:sz val="11"/>
      <x:name val="Aptos"/>
    </x:font>
    <x:font>
      <x:b/>
      <x:sz val="17"/>
      <x:color rgb="FFFFFFFF"/>
      <x:name val="Aptos Display"/>
    </x:font>
    <x:font>
      <x:sz val="10"/>
      <x:color rgb="FF4B6174"/>
      <x:name val="Aptos"/>
    </x:font>
    <x:font>
      <x:b/>
      <x:sz val="11"/>
      <x:color rgb="FFFFFFFF"/>
      <x:name val="Aptos"/>
    </x:font>
    <x:font>
      <x:b/>
      <x:sz val="10"/>
      <x:color rgb="FF19394C"/>
      <x:name val="Aptos"/>
    </x:font>
    <x:font>
      <x:sz val="11"/>
      <x:color rgb="FF273B49"/>
      <x:name val="Aptos"/>
    </x:font>
    <x:font>
      <x:b/>
      <x:sz val="11"/>
      <x:color rgb="FF273B49"/>
      <x:name val="Aptos"/>
    </x:font>
    <x:font>
      <x:b/>
      <x:sz val="11"/>
      <x:color rgb="FF075D51"/>
      <x:name val="Aptos"/>
    </x:font>
    <x:font>
      <x:b/>
      <x:sz val="35"/>
      <x:color rgb="FF086455"/>
      <x:name val="Aptos Display"/>
    </x:font>
    <x:font>
      <x:sz val="10"/>
      <x:color rgb="FF365569"/>
      <x:name val="Aptos"/>
    </x:font>
    <x:font>
      <x:sz val="11"/>
      <x:name val="Consolas"/>
    </x:font>
    <x:font>
      <x:sz val="10"/>
      <x:name val="Consolas"/>
    </x:font>
    <x:font>
      <x:sz val="11"/>
      <x:color rgb="FF4D6676"/>
      <x:name val="Aptos"/>
    </x:font>
    <x:font>
      <x:sz val="10"/>
      <x:color rgb="FF4D6574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15304A"/>
      </x:patternFill>
    </x:fill>
    <x:fill>
      <x:patternFill patternType="solid">
        <x:fgColor rgb="FFECF3F8"/>
      </x:patternFill>
    </x:fill>
    <x:fill>
      <x:patternFill patternType="solid">
        <x:fgColor rgb="FF1F5676"/>
      </x:patternFill>
    </x:fill>
    <x:fill>
      <x:patternFill patternType="solid">
        <x:fgColor rgb="FFDCEAF1"/>
      </x:patternFill>
    </x:fill>
    <x:fill>
      <x:patternFill patternType="solid">
        <x:fgColor rgb="FFF5F8FA"/>
      </x:patternFill>
    </x:fill>
    <x:fill>
      <x:patternFill patternType="solid">
        <x:fgColor rgb="FFD5EFE8"/>
      </x:patternFill>
    </x:fill>
    <x:fill>
      <x:patternFill patternType="solid">
        <x:fgColor rgb="FFFCF5E6"/>
      </x:patternFill>
    </x:fill>
    <x:fill>
      <x:patternFill patternType="solid">
        <x:fgColor rgb="FF174F69"/>
      </x:patternFill>
    </x:fill>
    <x:fill>
      <x:patternFill patternType="solid">
        <x:fgColor rgb="FFE4F4EF"/>
      </x:patternFill>
    </x:fill>
    <x:fill>
      <x:patternFill patternType="solid">
        <x:fgColor rgb="FFF3F7FA"/>
      </x:patternFill>
    </x:fill>
  </x:fills>
  <x:borders count="2">
    <x:border/>
    <x:border/>
  </x:borders>
  <x:cellStyleXfs count="1">
    <x:xf numFmtId="0" fontId="0" fillId="0" borderId="0"/>
  </x:cellStyleXfs>
  <x:cellXfs count="10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5" fillId="5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0" fontId="6" fillId="7" borderId="1" xfId="0" applyNumberFormat="1" applyFont="1" applyFill="1" applyBorder="1"/>
    <x:xf numFmtId="0" fontId="7" fillId="7" borderId="1" xfId="0" applyNumberFormat="1" applyFont="1" applyFill="1" applyBorder="1" applyAlignment="1">
      <x:alignment horizontal="center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center"/>
    </x:xf>
    <x:xf numFmtId="0" fontId="6" fillId="8" borderId="1" xfId="0" applyNumberFormat="1" applyFont="1" applyFill="1" applyBorder="1"/>
    <x:xf numFmtId="0" fontId="7" fillId="8" borderId="1" xfId="0" applyNumberFormat="1" applyFont="1" applyFill="1" applyBorder="1" applyAlignment="1">
      <x:alignment horizontal="center"/>
    </x:xf>
    <x:xf numFmtId="200" fontId="7" fillId="0" borderId="0" xfId="0" applyNumberFormat="1" applyFont="1" applyFill="1" applyBorder="1" applyAlignment="1">
      <x:alignment horizontal="center"/>
    </x:xf>
    <x:xf numFmtId="200" fontId="7" fillId="6" borderId="0" xfId="0" applyNumberFormat="1" applyFont="1" applyFill="1" applyBorder="1" applyAlignment="1">
      <x:alignment horizontal="center"/>
    </x:xf>
    <x:xf numFmtId="200" fontId="8" fillId="7" borderId="0" xfId="0" applyNumberFormat="1" applyFont="1" applyFill="1" applyBorder="1" applyAlignment="1">
      <x:alignment horizontal="center"/>
    </x:xf>
    <x:xf numFmtId="200" fontId="7" fillId="8" borderId="0" xfId="0" applyNumberFormat="1" applyFont="1" applyFill="1" applyBorder="1" applyAlignment="1">
      <x:alignment horizontal="center"/>
    </x:xf>
    <x:xf numFmtId="200" fontId="7" fillId="0" borderId="1" xfId="0" applyNumberFormat="1" applyFont="1" applyFill="1" applyBorder="1" applyAlignment="1">
      <x:alignment horizontal="center"/>
    </x:xf>
    <x:xf numFmtId="200" fontId="7" fillId="6" borderId="1" xfId="0" applyNumberFormat="1" applyFont="1" applyFill="1" applyBorder="1" applyAlignment="1">
      <x:alignment horizontal="center"/>
    </x:xf>
    <x:xf numFmtId="200" fontId="8" fillId="7" borderId="1" xfId="0" applyNumberFormat="1" applyFont="1" applyFill="1" applyBorder="1" applyAlignment="1">
      <x:alignment horizontal="center"/>
    </x:xf>
    <x:xf numFmtId="200" fontId="7" fillId="8" borderId="1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4" fillId="9" borderId="0" xfId="0" applyNumberFormat="1" applyFont="1" applyFill="1" applyBorder="1" applyAlignment="1">
      <x:alignment horizontal="center" vertical="center"/>
    </x:xf>
    <x:xf numFmtId="0" fontId="1" fillId="9" borderId="1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horizontal="center"/>
    </x:xf>
    <x:xf numFmtId="0" fontId="4" fillId="9" borderId="1" xfId="0" applyNumberFormat="1" applyFont="1" applyFill="1" applyBorder="1" applyAlignment="1">
      <x:alignment horizontal="center" vertical="center"/>
    </x:xf>
    <x:xf numFmtId="0" fontId="1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horizontal="center"/>
    </x:xf>
    <x:xf numFmtId="0" fontId="9" fillId="10" borderId="0" xfId="0" applyNumberFormat="1" applyFont="1" applyFill="1" applyBorder="1" applyAlignment="1">
      <x:alignment horizontal="center" vertical="center"/>
    </x:xf>
    <x:xf numFmtId="0" fontId="1" fillId="10" borderId="1" xfId="0" applyNumberFormat="1" applyFont="1" applyFill="1" applyBorder="1"/>
    <x:xf numFmtId="0" fontId="9" fillId="10" borderId="1" xfId="0" applyNumberFormat="1" applyFont="1" applyFill="1" applyBorder="1"/>
    <x:xf numFmtId="0" fontId="9" fillId="10" borderId="1" xfId="0" applyNumberFormat="1" applyFont="1" applyFill="1" applyBorder="1" applyAlignment="1">
      <x:alignment horizontal="center"/>
    </x:xf>
    <x:xf numFmtId="0" fontId="9" fillId="10" borderId="1" xfId="0" applyNumberFormat="1" applyFont="1" applyFill="1" applyBorder="1" applyAlignment="1">
      <x:alignment horizontal="center" vertical="center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horizontal="center" wrapText="1"/>
    </x:xf>
    <x:xf numFmtId="0" fontId="10" fillId="3" borderId="0" xfId="0" applyNumberFormat="1" applyFont="1" applyFill="1" applyBorder="1" applyAlignment="1">
      <x:alignment horizontal="center" vertical="center" wrapText="1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wrapText="1"/>
    </x:xf>
    <x:xf numFmtId="0" fontId="10" fillId="3" borderId="1" xfId="0" applyNumberFormat="1" applyFont="1" applyFill="1" applyBorder="1" applyAlignment="1">
      <x:alignment horizontal="center" wrapText="1"/>
    </x:xf>
    <x:xf numFmtId="0" fontId="10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vertical="center"/>
    </x:xf>
    <x:xf numFmtId="0" fontId="1" fillId="11" borderId="1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11" fillId="11" borderId="0" xfId="0" applyNumberFormat="1" applyFont="1" applyFill="1" applyBorder="1" applyAlignment="1">
      <x:alignment vertical="center"/>
    </x:xf>
    <x:xf numFmtId="0" fontId="11" fillId="0" borderId="1" xfId="0" applyNumberFormat="1" applyFont="1" applyFill="1" applyBorder="1" applyAlignment="1">
      <x:alignment vertical="center"/>
    </x:xf>
    <x:xf numFmtId="0" fontId="11" fillId="11" borderId="1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  <x:xf numFmtId="0" fontId="12" fillId="11" borderId="0" xfId="0" applyNumberFormat="1" applyFont="1" applyFill="1" applyBorder="1" applyAlignment="1">
      <x:alignment vertical="center"/>
    </x:xf>
    <x:xf numFmtId="0" fontId="12" fillId="0" borderId="1" xfId="0" applyNumberFormat="1" applyFont="1" applyFill="1" applyBorder="1" applyAlignment="1">
      <x:alignment vertical="center"/>
    </x:xf>
    <x:xf numFmtId="0" fontId="12" fillId="11" borderId="1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  <x:xf numFmtId="0" fontId="13" fillId="11" borderId="0" xfId="0" applyNumberFormat="1" applyFont="1" applyFill="1" applyBorder="1" applyAlignment="1">
      <x:alignment vertical="center"/>
    </x:xf>
    <x:xf numFmtId="0" fontId="13" fillId="0" borderId="1" xfId="0" applyNumberFormat="1" applyFont="1" applyFill="1" applyBorder="1" applyAlignment="1">
      <x:alignment vertical="center"/>
    </x:xf>
    <x:xf numFmtId="0" fontId="13" fillId="11" borderId="1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/>
    <x:xf numFmtId="0" fontId="14" fillId="11" borderId="0" xfId="0" applyNumberFormat="1" applyFont="1" applyFill="1" applyBorder="1"/>
    <x:xf numFmtId="0" fontId="14" fillId="11" borderId="0" xfId="0" applyNumberFormat="1" applyFont="1" applyFill="1" applyBorder="1" applyAlignment="1">
      <x:alignment wrapText="1"/>
    </x:xf>
    <x:xf numFmtId="0" fontId="14" fillId="11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0b174ac5164610" /><Relationship Type="http://schemas.openxmlformats.org/officeDocument/2006/relationships/theme" Target="/xl/theme/theme1.xml" Id="Recdb3b5a43634acb" /><Relationship Type="http://schemas.openxmlformats.org/officeDocument/2006/relationships/sharedStrings" Target="/xl/sharedStrings.xml" Id="R3b5158ee4add43b3" /><Relationship Type="http://schemas.openxmlformats.org/officeDocument/2006/relationships/worksheet" Target="/xl/worksheets/sheet1.xml" Id="R894e1770b6d648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8" hidden="0" customWidth="1"/>
    <x:col min="2" max="2" width="31" hidden="0" customWidth="1"/>
    <x:col min="3" max="3" width="52" hidden="0" customWidth="1"/>
  </x:cols>
  <x:sheetData>
    <x:row r="1" ht="23" customHeight="1">
      <x:c r="A1" s="6" t="str">
        <x:v>Species Reconciliation | Cancer &amp; Life-History Data</x:v>
      </x:c>
      <x:c r="B1" s="6"/>
      <x:c r="C1" s="6"/>
    </x:row>
    <x:row r="2" ht="23" customHeight="1">
      <x:c r="A2" s="6"/>
      <x:c r="B2" s="6"/>
      <x:c r="C2" s="6"/>
    </x:row>
    <x:row r="3" ht="25" customHeight="1">
      <x:c r="A3" s="12" t="str">
        <x:v>Dataset–phylogeny matching summary and taxonomic alias reference</x:v>
      </x:c>
      <x:c r="B3" s="12"/>
      <x:c r="C3" s="12"/>
    </x:row>
    <x:row r="4" ht="23" customHeight="1">
      <x:c r="A4" s="2"/>
      <x:c r="B4" s="2"/>
      <x:c r="C4" s="2"/>
    </x:row>
    <x:row r="5" ht="28" customHeight="1">
      <x:c r="A5" s="18" t="str">
        <x:v>RECONCILIATION SUMMARY</x:v>
      </x:c>
      <x:c r="B5" s="18"/>
      <x:c r="C5" s="63" t="str">
        <x:v>FINAL MATCHED SPECIES</x:v>
      </x:c>
    </x:row>
    <x:row r="6" ht="25" customHeight="1">
      <x:c r="A6" s="24" t="str">
        <x:v>Quantity</x:v>
      </x:c>
      <x:c r="B6" s="30" t="str">
        <x:v>Verified count</x:v>
      </x:c>
      <x:c r="C6" s="63"/>
    </x:row>
    <x:row r="7" ht="26" customHeight="1">
      <x:c r="A7" s="28" t="str">
        <x:v>Species records in original dataset</x:v>
      </x:c>
      <x:c r="B7" s="52" t="n">
        <x:v>327</x:v>
      </x:c>
      <x:c r="C7" s="71" t="n">
        <x:f>B11</x:f>
        <x:v>302</x:v>
      </x:c>
    </x:row>
    <x:row r="8" ht="26" customHeight="1">
      <x:c r="A8" s="36" t="str">
        <x:v>Tips in phylogenetic tree</x:v>
      </x:c>
      <x:c r="B8" s="53" t="n">
        <x:v>304</x:v>
      </x:c>
      <x:c r="C8" s="71"/>
    </x:row>
    <x:row r="9" ht="26" customHeight="1">
      <x:c r="A9" s="28" t="str">
        <x:v>Matches after name standardization</x:v>
      </x:c>
      <x:c r="B9" s="52" t="n">
        <x:v>293</x:v>
      </x:c>
      <x:c r="C9" s="71"/>
    </x:row>
    <x:row r="10" ht="26" customHeight="1">
      <x:c r="A10" s="36" t="str">
        <x:v>Additional matches recovered through 9 aliases</x:v>
      </x:c>
      <x:c r="B10" s="53" t="n">
        <x:f>COUNTA(A17:A25)</x:f>
        <x:v>9</x:v>
      </x:c>
      <x:c r="C10" s="79" t="str">
        <x:v>293 direct matches + 9 taxonomic aliases
25 data species remain unmatched to this tree</x:v>
      </x:c>
    </x:row>
    <x:row r="11" ht="30" customHeight="1">
      <x:c r="A11" s="42" t="str">
        <x:v>Final matched species</x:v>
      </x:c>
      <x:c r="B11" s="54" t="n">
        <x:f>B9+B10</x:f>
        <x:v>302</x:v>
      </x:c>
      <x:c r="C11" s="79"/>
    </x:row>
    <x:row r="12" ht="26" customHeight="1">
      <x:c r="A12" s="48" t="str">
        <x:v>Data species without tree matches</x:v>
      </x:c>
      <x:c r="B12" s="55" t="n">
        <x:f>B7-B11</x:f>
        <x:v>25</x:v>
      </x:c>
      <x:c r="C12" s="79"/>
    </x:row>
    <x:row r="13" ht="23" customHeight="1">
      <x:c r="A13" s="2"/>
      <x:c r="B13" s="2"/>
      <x:c r="C13" s="2"/>
    </x:row>
    <x:row r="14" ht="23" customHeight="1">
      <x:c r="A14" s="2"/>
      <x:c r="B14" s="2"/>
      <x:c r="C14" s="2"/>
    </x:row>
    <x:row r="15" ht="29" customHeight="1">
      <x:c r="A15" s="18" t="str">
        <x:v>SPECIES ALIASES  |  9 RECONCILED NAMES</x:v>
      </x:c>
      <x:c r="B15" s="18"/>
      <x:c r="C15" s="18"/>
    </x:row>
    <x:row r="16" ht="27" customHeight="1">
      <x:c r="A16" s="24" t="str">
        <x:v>data_species</x:v>
      </x:c>
      <x:c r="B16" s="24" t="str">
        <x:v>tree_species</x:v>
      </x:c>
      <x:c r="C16" s="24" t="str">
        <x:v>reason</x:v>
      </x:c>
    </x:row>
    <x:row r="17" ht="25" customHeight="1">
      <x:c r="A17" s="92" t="str">
        <x:v>Anas_formosa</x:v>
      </x:c>
      <x:c r="B17" s="92" t="str">
        <x:v>Sibirionetta_formosa</x:v>
      </x:c>
      <x:c r="C17" s="96" t="str">
        <x:v>taxonomic synonym / genus update</x:v>
      </x:c>
    </x:row>
    <x:row r="18" ht="25" customHeight="1">
      <x:c r="A18" s="93" t="str">
        <x:v>Anurolimnas_fasciatus</x:v>
      </x:c>
      <x:c r="B18" s="93" t="str">
        <x:v>Laterallus_fasciatus</x:v>
      </x:c>
      <x:c r="C18" s="97" t="str">
        <x:v>taxonomic nomenclature update</x:v>
      </x:c>
    </x:row>
    <x:row r="19" ht="25" customHeight="1">
      <x:c r="A19" s="92" t="str">
        <x:v>Chelus_fimbriatus</x:v>
      </x:c>
      <x:c r="B19" s="92" t="str">
        <x:v>Chelus_fimbriata</x:v>
      </x:c>
      <x:c r="C19" s="96" t="str">
        <x:v>nomenclatural spelling / taxonomic match</x:v>
      </x:c>
    </x:row>
    <x:row r="20" ht="25" customHeight="1">
      <x:c r="A20" s="93" t="str">
        <x:v>Cnemidophorus_uniparens</x:v>
      </x:c>
      <x:c r="B20" s="93" t="str">
        <x:v>Aspidoscelis_uniparens</x:v>
      </x:c>
      <x:c r="C20" s="97" t="str">
        <x:v>taxonomic synonym / genus update</x:v>
      </x:c>
    </x:row>
    <x:row r="21" ht="25" customHeight="1">
      <x:c r="A21" s="92" t="str">
        <x:v>Epicrates_subflavus</x:v>
      </x:c>
      <x:c r="B21" s="92" t="str">
        <x:v>Chilabothrus_subflavus</x:v>
      </x:c>
      <x:c r="C21" s="96" t="str">
        <x:v>taxonomic synonym / genus update</x:v>
      </x:c>
    </x:row>
    <x:row r="22" ht="25" customHeight="1">
      <x:c r="A22" s="93" t="str">
        <x:v>Irena_cyanogaster</x:v>
      </x:c>
      <x:c r="B22" s="93" t="str">
        <x:v>Irena_cyanogastra</x:v>
      </x:c>
      <x:c r="C22" s="97" t="str">
        <x:v>nomenclatural spelling / taxonomic match</x:v>
      </x:c>
    </x:row>
    <x:row r="23" ht="25" customHeight="1">
      <x:c r="A23" s="92" t="str">
        <x:v>Macropus_eugenii</x:v>
      </x:c>
      <x:c r="B23" s="92" t="str">
        <x:v>Notamacropus_eugenii</x:v>
      </x:c>
      <x:c r="C23" s="96" t="str">
        <x:v>taxonomic synonym / genus update</x:v>
      </x:c>
    </x:row>
    <x:row r="24" ht="25" customHeight="1">
      <x:c r="A24" s="93" t="str">
        <x:v>Sciurus_carolinensis</x:v>
      </x:c>
      <x:c r="B24" s="93" t="str">
        <x:v>Neosciurus_carolinensis</x:v>
      </x:c>
      <x:c r="C24" s="97" t="str">
        <x:v>taxonomic synonym / genus treatment</x:v>
      </x:c>
    </x:row>
    <x:row r="25" ht="25" customHeight="1">
      <x:c r="A25" s="92" t="str">
        <x:v>Taeniopygia_bichenovii</x:v>
      </x:c>
      <x:c r="B25" s="92" t="str">
        <x:v>Stizoptera_bichenovii</x:v>
      </x:c>
      <x:c r="C25" s="96" t="str">
        <x:v>taxonomic synonym / genus update</x:v>
      </x:c>
    </x:row>
    <x:row r="26" ht="23" customHeight="1">
      <x:c r="A26" s="2"/>
      <x:c r="B26" s="2"/>
      <x:c r="C26" s="2"/>
    </x:row>
    <x:row r="27" ht="23" customHeight="1">
      <x:c r="A27" s="103" t="str">
        <x:v>Note: Counts describe dataset–tree reconciliation. Models using individual traits may include fewer species after filtering missing values. The separate species_aliases.csv remains the machine-readable file used by the R pipeline.</x:v>
      </x:c>
      <x:c r="B27" s="103"/>
      <x:c r="C27" s="103"/>
    </x:row>
    <x:row r="28" ht="23" customHeight="1">
      <x:c r="A28" s="103"/>
      <x:c r="B28" s="103"/>
      <x:c r="C28" s="103"/>
    </x:row>
    <x:row r="29" ht="23" customHeight="1">
      <x:c r="A29" s="2"/>
      <x:c r="B29" s="2"/>
      <x:c r="C29" s="2"/>
    </x:row>
  </x:sheetData>
  <x:mergeCells>
    <x:mergeCell ref="A1:C2"/>
    <x:mergeCell ref="A3:C3"/>
    <x:mergeCell ref="A5:B5"/>
    <x:mergeCell ref="C5:C6"/>
    <x:mergeCell ref="C7:C9"/>
    <x:mergeCell ref="C10:C12"/>
    <x:mergeCell ref="A15:C15"/>
    <x:mergeCell ref="A27:C28"/>
  </x:mergeCells>
  <x:pageMargins left="0.7" right="0.7" top="0.75" bottom="0.75" header="0.3" footer="0.3"/>
</x:worksheet>
</file>